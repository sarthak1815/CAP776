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491E8C1-89BD-4F9E-9D1E-F2D1B8FE7C93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Daily Log" sheetId="2" r:id="rId1"/>
  </sheets>
  <definedNames>
    <definedName name="_xlnm._FilterDatabase" localSheetId="0" hidden="1">'Daily Log'!$A$5:$N$60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0" i="2" l="1"/>
  <c r="J60" i="2" s="1"/>
  <c r="I59" i="2"/>
  <c r="J59" i="2" s="1"/>
  <c r="I58" i="2"/>
  <c r="J58" i="2" s="1"/>
  <c r="I57" i="2"/>
  <c r="J57" i="2" s="1"/>
  <c r="J56" i="2"/>
  <c r="I56" i="2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J47" i="2"/>
  <c r="I47" i="2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J38" i="2"/>
  <c r="I38" i="2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<sst xmlns="http://schemas.openxmlformats.org/spreadsheetml/2006/main" count="244" uniqueCount="52">
  <si>
    <t>My Data, My Code — Daily Log</t>
  </si>
  <si>
    <t>Name:</t>
  </si>
  <si>
    <t>Sarthak Sourav Biswal</t>
  </si>
  <si>
    <t>Registration:</t>
  </si>
  <si>
    <t>12614642</t>
  </si>
  <si>
    <t>Course / Sem:</t>
  </si>
  <si>
    <t>MCA / D1P2636</t>
  </si>
  <si>
    <t>Month:</t>
  </si>
  <si>
    <t>Aug-Oct 2026</t>
  </si>
  <si>
    <t>All durations in MINUTES. Yellow cells = enter your data. Total Tracked and Free/Unaccounted are calculated automatically.</t>
  </si>
  <si>
    <t>Date</t>
  </si>
  <si>
    <t>Sleep
(min)</t>
  </si>
  <si>
    <t>Fitness
(min)</t>
  </si>
  <si>
    <t>Study
(min)</t>
  </si>
  <si>
    <t>Coding
(min)</t>
  </si>
  <si>
    <t>Class
(min)</t>
  </si>
  <si>
    <t>Classes
Attended</t>
  </si>
  <si>
    <t>Other
Activities</t>
  </si>
  <si>
    <t>Total
Tracked</t>
  </si>
  <si>
    <t>Free/Unaccounted
(min)</t>
  </si>
  <si>
    <t>Day's
Feeling</t>
  </si>
  <si>
    <t>Satisfaction
Level</t>
  </si>
  <si>
    <t>Energy
Level</t>
  </si>
  <si>
    <t>Notes</t>
  </si>
  <si>
    <t>Good</t>
  </si>
  <si>
    <t>Satisfied</t>
  </si>
  <si>
    <t>Medium</t>
  </si>
  <si>
    <t>Had a normal day and stayed on schedule.</t>
  </si>
  <si>
    <t>Neutral</t>
  </si>
  <si>
    <t>Low</t>
  </si>
  <si>
    <t>Worked on regular academic tasks and project progress.</t>
  </si>
  <si>
    <t>Completed routine academic work and project activities.</t>
  </si>
  <si>
    <t>Very Satisfied</t>
  </si>
  <si>
    <t>Weekend used for workout, study and personal time.</t>
  </si>
  <si>
    <t>Unsatisfied</t>
  </si>
  <si>
    <t>Spent the weekend balancing project work and rest.</t>
  </si>
  <si>
    <t>High</t>
  </si>
  <si>
    <t>Spent some time revising class topics.</t>
  </si>
  <si>
    <t>Worked on coding practice and organized project tasks.</t>
  </si>
  <si>
    <t>Worked on assignments and continued project development.</t>
  </si>
  <si>
    <t>Relaxed after the week and completed the planned tasks.</t>
  </si>
  <si>
    <t>Completed planned study and coding work.</t>
  </si>
  <si>
    <t>Reviewed notes and completed pending work.</t>
  </si>
  <si>
    <t>Focused on maintaining a consistent daily routine.</t>
  </si>
  <si>
    <t>Productive day with regular college and workout routine.</t>
  </si>
  <si>
    <t>Took some rest and finished planned tasks.</t>
  </si>
  <si>
    <t>Reviewed previous work and practiced programming.</t>
  </si>
  <si>
    <t>Used the day for revision, coding practice and personal activities.</t>
  </si>
  <si>
    <t>Semester break from classes; worked on pending tasks.</t>
  </si>
  <si>
    <t>No classes today; balanced coding, study and fitness.</t>
  </si>
  <si>
    <t>No scheduled classes; used the day for project progress and rest.</t>
  </si>
  <si>
    <t>No classes; focused on project work and regular routine.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</si>
</sst>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6"/>
      <color rgb="FF17365D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164" fontId="0" fillId="2" borderId="3" xfId="0" applyNumberFormat="1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0" xfId="0" applyFont="1"/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0"/>
  <sheetViews>
    <sheetView tabSelected="1" topLeftCell="D1" workbookViewId="0">
      <pane ySplit="5" topLeftCell="A6" activePane="bottomLeft" state="frozen"/>
      <selection pane="bottomLeft" activeCell="N5" sqref="N5"/>
    </sheetView>
  </sheetViews>
  <sheetFormatPr defaultRowHeight="14.4" x14ac:dyDescent="0.3"/>
  <cols>
    <col min="1" max="1" width="15" customWidth="1"/>
    <col min="2" max="6" width="13" customWidth="1"/>
    <col min="7" max="7" width="16" customWidth="1"/>
    <col min="8" max="8" width="18" customWidth="1"/>
    <col min="9" max="9" width="15" customWidth="1"/>
    <col min="10" max="10" width="21" customWidth="1"/>
    <col min="11" max="11" width="15" customWidth="1"/>
    <col min="12" max="12" width="19" customWidth="1"/>
    <col min="13" max="13" width="13" customWidth="1"/>
    <col min="14" max="14" width="52" customWidth="1"/>
  </cols>
  <sheetData>
    <row r="1" spans="1:14" ht="21" x14ac:dyDescent="0.4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1" t="s">
        <v>1</v>
      </c>
      <c r="B2" s="2" t="s">
        <v>2</v>
      </c>
      <c r="D2" s="1" t="s">
        <v>3</v>
      </c>
      <c r="E2" s="2" t="s">
        <v>4</v>
      </c>
    </row>
    <row r="3" spans="1:14" x14ac:dyDescent="0.3">
      <c r="A3" s="1" t="s">
        <v>5</v>
      </c>
      <c r="B3" s="2" t="s">
        <v>6</v>
      </c>
      <c r="D3" s="1" t="s">
        <v>7</v>
      </c>
      <c r="E3" s="2" t="s">
        <v>8</v>
      </c>
    </row>
    <row r="4" spans="1:14" x14ac:dyDescent="0.3">
      <c r="A4" s="7" t="s">
        <v>9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42" customHeight="1" x14ac:dyDescent="0.3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  <c r="N5" s="3" t="s">
        <v>23</v>
      </c>
    </row>
    <row r="6" spans="1:14" x14ac:dyDescent="0.3">
      <c r="A6" s="4">
        <v>46246</v>
      </c>
      <c r="B6" s="5">
        <v>360</v>
      </c>
      <c r="C6" s="5">
        <v>90</v>
      </c>
      <c r="D6" s="5">
        <v>60</v>
      </c>
      <c r="E6" s="5">
        <v>60</v>
      </c>
      <c r="F6" s="5">
        <v>480</v>
      </c>
      <c r="G6" s="5">
        <v>4</v>
      </c>
      <c r="H6" s="5">
        <v>300</v>
      </c>
      <c r="I6" s="6">
        <f t="shared" ref="I6:I37" si="0">SUM(B6:H6)</f>
        <v>1354</v>
      </c>
      <c r="J6" s="6">
        <f t="shared" ref="J6:J37" si="1">1440-I6</f>
        <v>86</v>
      </c>
      <c r="K6" s="5" t="s">
        <v>24</v>
      </c>
      <c r="L6" s="5" t="s">
        <v>25</v>
      </c>
      <c r="M6" s="5" t="s">
        <v>26</v>
      </c>
      <c r="N6" s="5" t="s">
        <v>27</v>
      </c>
    </row>
    <row r="7" spans="1:14" x14ac:dyDescent="0.3">
      <c r="A7" s="4">
        <v>46247</v>
      </c>
      <c r="B7" s="5">
        <v>360</v>
      </c>
      <c r="C7" s="5">
        <v>90</v>
      </c>
      <c r="D7" s="5">
        <v>60</v>
      </c>
      <c r="E7" s="5">
        <v>60</v>
      </c>
      <c r="F7" s="5">
        <v>480</v>
      </c>
      <c r="G7" s="5">
        <v>6</v>
      </c>
      <c r="H7" s="5">
        <v>300</v>
      </c>
      <c r="I7" s="6">
        <f t="shared" si="0"/>
        <v>1356</v>
      </c>
      <c r="J7" s="6">
        <f t="shared" si="1"/>
        <v>84</v>
      </c>
      <c r="K7" s="5" t="s">
        <v>28</v>
      </c>
      <c r="L7" s="5" t="s">
        <v>28</v>
      </c>
      <c r="M7" s="5" t="s">
        <v>29</v>
      </c>
      <c r="N7" s="5" t="s">
        <v>30</v>
      </c>
    </row>
    <row r="8" spans="1:14" x14ac:dyDescent="0.3">
      <c r="A8" s="4">
        <v>46248</v>
      </c>
      <c r="B8" s="5">
        <v>360</v>
      </c>
      <c r="C8" s="5">
        <v>90</v>
      </c>
      <c r="D8" s="5">
        <v>60</v>
      </c>
      <c r="E8" s="5">
        <v>60</v>
      </c>
      <c r="F8" s="5">
        <v>480</v>
      </c>
      <c r="G8" s="5">
        <v>4</v>
      </c>
      <c r="H8" s="5">
        <v>240</v>
      </c>
      <c r="I8" s="6">
        <f t="shared" si="0"/>
        <v>1294</v>
      </c>
      <c r="J8" s="6">
        <f t="shared" si="1"/>
        <v>146</v>
      </c>
      <c r="K8" s="5" t="s">
        <v>24</v>
      </c>
      <c r="L8" s="5" t="s">
        <v>25</v>
      </c>
      <c r="M8" s="5" t="s">
        <v>26</v>
      </c>
      <c r="N8" s="5" t="s">
        <v>31</v>
      </c>
    </row>
    <row r="9" spans="1:14" x14ac:dyDescent="0.3">
      <c r="A9" s="4">
        <v>46249</v>
      </c>
      <c r="B9" s="5">
        <v>480</v>
      </c>
      <c r="C9" s="5">
        <v>90</v>
      </c>
      <c r="D9" s="5">
        <v>60</v>
      </c>
      <c r="E9" s="5">
        <v>60</v>
      </c>
      <c r="F9" s="5">
        <v>0</v>
      </c>
      <c r="G9" s="5">
        <v>0</v>
      </c>
      <c r="H9" s="5">
        <v>270</v>
      </c>
      <c r="I9" s="6">
        <f t="shared" si="0"/>
        <v>960</v>
      </c>
      <c r="J9" s="6">
        <f t="shared" si="1"/>
        <v>480</v>
      </c>
      <c r="K9" s="5" t="s">
        <v>24</v>
      </c>
      <c r="L9" s="5" t="s">
        <v>32</v>
      </c>
      <c r="M9" s="5" t="s">
        <v>26</v>
      </c>
      <c r="N9" s="5" t="s">
        <v>33</v>
      </c>
    </row>
    <row r="10" spans="1:14" x14ac:dyDescent="0.3">
      <c r="A10" s="4">
        <v>46250</v>
      </c>
      <c r="B10" s="5">
        <v>390</v>
      </c>
      <c r="C10" s="5">
        <v>90</v>
      </c>
      <c r="D10" s="5">
        <v>60</v>
      </c>
      <c r="E10" s="5">
        <v>60</v>
      </c>
      <c r="F10" s="5">
        <v>0</v>
      </c>
      <c r="G10" s="5">
        <v>0</v>
      </c>
      <c r="H10" s="5">
        <v>300</v>
      </c>
      <c r="I10" s="6">
        <f t="shared" si="0"/>
        <v>900</v>
      </c>
      <c r="J10" s="6">
        <f t="shared" si="1"/>
        <v>540</v>
      </c>
      <c r="K10" s="5" t="s">
        <v>28</v>
      </c>
      <c r="L10" s="5" t="s">
        <v>34</v>
      </c>
      <c r="M10" s="5" t="s">
        <v>26</v>
      </c>
      <c r="N10" s="5" t="s">
        <v>35</v>
      </c>
    </row>
    <row r="11" spans="1:14" x14ac:dyDescent="0.3">
      <c r="A11" s="4">
        <v>46251</v>
      </c>
      <c r="B11" s="5">
        <v>390</v>
      </c>
      <c r="C11" s="5">
        <v>90</v>
      </c>
      <c r="D11" s="5">
        <v>60</v>
      </c>
      <c r="E11" s="5">
        <v>60</v>
      </c>
      <c r="F11" s="5">
        <v>480</v>
      </c>
      <c r="G11" s="5">
        <v>5</v>
      </c>
      <c r="H11" s="5">
        <v>240</v>
      </c>
      <c r="I11" s="6">
        <f t="shared" si="0"/>
        <v>1325</v>
      </c>
      <c r="J11" s="6">
        <f t="shared" si="1"/>
        <v>115</v>
      </c>
      <c r="K11" s="5" t="s">
        <v>24</v>
      </c>
      <c r="L11" s="5" t="s">
        <v>32</v>
      </c>
      <c r="M11" s="5" t="s">
        <v>36</v>
      </c>
      <c r="N11" s="5" t="s">
        <v>37</v>
      </c>
    </row>
    <row r="12" spans="1:14" x14ac:dyDescent="0.3">
      <c r="A12" s="4">
        <v>46252</v>
      </c>
      <c r="B12" s="5">
        <v>420</v>
      </c>
      <c r="C12" s="5">
        <v>90</v>
      </c>
      <c r="D12" s="5">
        <v>60</v>
      </c>
      <c r="E12" s="5">
        <v>60</v>
      </c>
      <c r="F12" s="5">
        <v>480</v>
      </c>
      <c r="G12" s="5">
        <v>6</v>
      </c>
      <c r="H12" s="5">
        <v>270</v>
      </c>
      <c r="I12" s="6">
        <f t="shared" si="0"/>
        <v>1386</v>
      </c>
      <c r="J12" s="6">
        <f t="shared" si="1"/>
        <v>54</v>
      </c>
      <c r="K12" s="5" t="s">
        <v>24</v>
      </c>
      <c r="L12" s="5" t="s">
        <v>32</v>
      </c>
      <c r="M12" s="5" t="s">
        <v>36</v>
      </c>
      <c r="N12" s="5" t="s">
        <v>38</v>
      </c>
    </row>
    <row r="13" spans="1:14" x14ac:dyDescent="0.3">
      <c r="A13" s="4">
        <v>46253</v>
      </c>
      <c r="B13" s="5">
        <v>360</v>
      </c>
      <c r="C13" s="5">
        <v>90</v>
      </c>
      <c r="D13" s="5">
        <v>60</v>
      </c>
      <c r="E13" s="5">
        <v>60</v>
      </c>
      <c r="F13" s="5">
        <v>480</v>
      </c>
      <c r="G13" s="5">
        <v>6</v>
      </c>
      <c r="H13" s="5">
        <v>270</v>
      </c>
      <c r="I13" s="6">
        <f t="shared" si="0"/>
        <v>1326</v>
      </c>
      <c r="J13" s="6">
        <f t="shared" si="1"/>
        <v>114</v>
      </c>
      <c r="K13" s="5" t="s">
        <v>28</v>
      </c>
      <c r="L13" s="5" t="s">
        <v>34</v>
      </c>
      <c r="M13" s="5" t="s">
        <v>26</v>
      </c>
      <c r="N13" s="5" t="s">
        <v>31</v>
      </c>
    </row>
    <row r="14" spans="1:14" x14ac:dyDescent="0.3">
      <c r="A14" s="4">
        <v>46254</v>
      </c>
      <c r="B14" s="5">
        <v>360</v>
      </c>
      <c r="C14" s="5">
        <v>90</v>
      </c>
      <c r="D14" s="5">
        <v>60</v>
      </c>
      <c r="E14" s="5">
        <v>60</v>
      </c>
      <c r="F14" s="5">
        <v>480</v>
      </c>
      <c r="G14" s="5">
        <v>4</v>
      </c>
      <c r="H14" s="5">
        <v>300</v>
      </c>
      <c r="I14" s="6">
        <f t="shared" si="0"/>
        <v>1354</v>
      </c>
      <c r="J14" s="6">
        <f t="shared" si="1"/>
        <v>86</v>
      </c>
      <c r="K14" s="5" t="s">
        <v>24</v>
      </c>
      <c r="L14" s="5" t="s">
        <v>32</v>
      </c>
      <c r="M14" s="5" t="s">
        <v>36</v>
      </c>
      <c r="N14" s="5" t="s">
        <v>39</v>
      </c>
    </row>
    <row r="15" spans="1:14" x14ac:dyDescent="0.3">
      <c r="A15" s="4">
        <v>46255</v>
      </c>
      <c r="B15" s="5">
        <v>390</v>
      </c>
      <c r="C15" s="5">
        <v>90</v>
      </c>
      <c r="D15" s="5">
        <v>60</v>
      </c>
      <c r="E15" s="5">
        <v>60</v>
      </c>
      <c r="F15" s="5">
        <v>480</v>
      </c>
      <c r="G15" s="5">
        <v>4</v>
      </c>
      <c r="H15" s="5">
        <v>270</v>
      </c>
      <c r="I15" s="6">
        <f t="shared" si="0"/>
        <v>1354</v>
      </c>
      <c r="J15" s="6">
        <f t="shared" si="1"/>
        <v>86</v>
      </c>
      <c r="K15" s="5" t="s">
        <v>24</v>
      </c>
      <c r="L15" s="5" t="s">
        <v>32</v>
      </c>
      <c r="M15" s="5" t="s">
        <v>26</v>
      </c>
      <c r="N15" s="5" t="s">
        <v>27</v>
      </c>
    </row>
    <row r="16" spans="1:14" x14ac:dyDescent="0.3">
      <c r="A16" s="4">
        <v>46256</v>
      </c>
      <c r="B16" s="5">
        <v>420</v>
      </c>
      <c r="C16" s="5">
        <v>90</v>
      </c>
      <c r="D16" s="5">
        <v>60</v>
      </c>
      <c r="E16" s="5">
        <v>60</v>
      </c>
      <c r="F16" s="5">
        <v>0</v>
      </c>
      <c r="G16" s="5">
        <v>0</v>
      </c>
      <c r="H16" s="5">
        <v>270</v>
      </c>
      <c r="I16" s="6">
        <f t="shared" si="0"/>
        <v>900</v>
      </c>
      <c r="J16" s="6">
        <f t="shared" si="1"/>
        <v>540</v>
      </c>
      <c r="K16" s="5" t="s">
        <v>24</v>
      </c>
      <c r="L16" s="5" t="s">
        <v>32</v>
      </c>
      <c r="M16" s="5" t="s">
        <v>36</v>
      </c>
      <c r="N16" s="5" t="s">
        <v>35</v>
      </c>
    </row>
    <row r="17" spans="1:14" x14ac:dyDescent="0.3">
      <c r="A17" s="4">
        <v>46257</v>
      </c>
      <c r="B17" s="5">
        <v>480</v>
      </c>
      <c r="C17" s="5">
        <v>90</v>
      </c>
      <c r="D17" s="5">
        <v>60</v>
      </c>
      <c r="E17" s="5">
        <v>60</v>
      </c>
      <c r="F17" s="5">
        <v>0</v>
      </c>
      <c r="G17" s="5">
        <v>0</v>
      </c>
      <c r="H17" s="5">
        <v>300</v>
      </c>
      <c r="I17" s="6">
        <f t="shared" si="0"/>
        <v>990</v>
      </c>
      <c r="J17" s="6">
        <f t="shared" si="1"/>
        <v>450</v>
      </c>
      <c r="K17" s="5" t="s">
        <v>24</v>
      </c>
      <c r="L17" s="5" t="s">
        <v>25</v>
      </c>
      <c r="M17" s="5" t="s">
        <v>29</v>
      </c>
      <c r="N17" s="5" t="s">
        <v>40</v>
      </c>
    </row>
    <row r="18" spans="1:14" x14ac:dyDescent="0.3">
      <c r="A18" s="4">
        <v>46258</v>
      </c>
      <c r="B18" s="5">
        <v>420</v>
      </c>
      <c r="C18" s="5">
        <v>90</v>
      </c>
      <c r="D18" s="5">
        <v>60</v>
      </c>
      <c r="E18" s="5">
        <v>60</v>
      </c>
      <c r="F18" s="5">
        <v>480</v>
      </c>
      <c r="G18" s="5">
        <v>6</v>
      </c>
      <c r="H18" s="5">
        <v>300</v>
      </c>
      <c r="I18" s="6">
        <f t="shared" si="0"/>
        <v>1416</v>
      </c>
      <c r="J18" s="6">
        <f t="shared" si="1"/>
        <v>24</v>
      </c>
      <c r="K18" s="5" t="s">
        <v>28</v>
      </c>
      <c r="L18" s="5" t="s">
        <v>28</v>
      </c>
      <c r="M18" s="5" t="s">
        <v>26</v>
      </c>
      <c r="N18" s="5" t="s">
        <v>39</v>
      </c>
    </row>
    <row r="19" spans="1:14" x14ac:dyDescent="0.3">
      <c r="A19" s="4">
        <v>46259</v>
      </c>
      <c r="B19" s="5">
        <v>360</v>
      </c>
      <c r="C19" s="5">
        <v>90</v>
      </c>
      <c r="D19" s="5">
        <v>60</v>
      </c>
      <c r="E19" s="5">
        <v>60</v>
      </c>
      <c r="F19" s="5">
        <v>480</v>
      </c>
      <c r="G19" s="5">
        <v>4</v>
      </c>
      <c r="H19" s="5">
        <v>240</v>
      </c>
      <c r="I19" s="6">
        <f t="shared" si="0"/>
        <v>1294</v>
      </c>
      <c r="J19" s="6">
        <f t="shared" si="1"/>
        <v>146</v>
      </c>
      <c r="K19" s="5" t="s">
        <v>24</v>
      </c>
      <c r="L19" s="5" t="s">
        <v>32</v>
      </c>
      <c r="M19" s="5" t="s">
        <v>26</v>
      </c>
      <c r="N19" s="5" t="s">
        <v>41</v>
      </c>
    </row>
    <row r="20" spans="1:14" x14ac:dyDescent="0.3">
      <c r="A20" s="4">
        <v>46260</v>
      </c>
      <c r="B20" s="5">
        <v>390</v>
      </c>
      <c r="C20" s="5">
        <v>90</v>
      </c>
      <c r="D20" s="5">
        <v>60</v>
      </c>
      <c r="E20" s="5">
        <v>60</v>
      </c>
      <c r="F20" s="5">
        <v>480</v>
      </c>
      <c r="G20" s="5">
        <v>6</v>
      </c>
      <c r="H20" s="5">
        <v>300</v>
      </c>
      <c r="I20" s="6">
        <f t="shared" si="0"/>
        <v>1386</v>
      </c>
      <c r="J20" s="6">
        <f t="shared" si="1"/>
        <v>54</v>
      </c>
      <c r="K20" s="5" t="s">
        <v>24</v>
      </c>
      <c r="L20" s="5" t="s">
        <v>25</v>
      </c>
      <c r="M20" s="5" t="s">
        <v>29</v>
      </c>
      <c r="N20" s="5" t="s">
        <v>38</v>
      </c>
    </row>
    <row r="21" spans="1:14" x14ac:dyDescent="0.3">
      <c r="A21" s="4">
        <v>46261</v>
      </c>
      <c r="B21" s="5">
        <v>450</v>
      </c>
      <c r="C21" s="5">
        <v>90</v>
      </c>
      <c r="D21" s="5">
        <v>60</v>
      </c>
      <c r="E21" s="5">
        <v>60</v>
      </c>
      <c r="F21" s="5">
        <v>480</v>
      </c>
      <c r="G21" s="5">
        <v>4</v>
      </c>
      <c r="H21" s="5">
        <v>270</v>
      </c>
      <c r="I21" s="6">
        <f t="shared" si="0"/>
        <v>1414</v>
      </c>
      <c r="J21" s="6">
        <f t="shared" si="1"/>
        <v>26</v>
      </c>
      <c r="K21" s="5" t="s">
        <v>24</v>
      </c>
      <c r="L21" s="5" t="s">
        <v>25</v>
      </c>
      <c r="M21" s="5" t="s">
        <v>26</v>
      </c>
      <c r="N21" s="5" t="s">
        <v>31</v>
      </c>
    </row>
    <row r="22" spans="1:14" x14ac:dyDescent="0.3">
      <c r="A22" s="4">
        <v>46262</v>
      </c>
      <c r="B22" s="5">
        <v>480</v>
      </c>
      <c r="C22" s="5">
        <v>90</v>
      </c>
      <c r="D22" s="5">
        <v>60</v>
      </c>
      <c r="E22" s="5">
        <v>60</v>
      </c>
      <c r="F22" s="5">
        <v>480</v>
      </c>
      <c r="G22" s="5">
        <v>5</v>
      </c>
      <c r="H22" s="5">
        <v>270</v>
      </c>
      <c r="I22" s="6">
        <f t="shared" si="0"/>
        <v>1445</v>
      </c>
      <c r="J22" s="6">
        <f t="shared" si="1"/>
        <v>-5</v>
      </c>
      <c r="K22" s="5" t="s">
        <v>24</v>
      </c>
      <c r="L22" s="5" t="s">
        <v>25</v>
      </c>
      <c r="M22" s="5" t="s">
        <v>26</v>
      </c>
      <c r="N22" s="5" t="s">
        <v>42</v>
      </c>
    </row>
    <row r="23" spans="1:14" x14ac:dyDescent="0.3">
      <c r="A23" s="4">
        <v>46263</v>
      </c>
      <c r="B23" s="5">
        <v>450</v>
      </c>
      <c r="C23" s="5">
        <v>90</v>
      </c>
      <c r="D23" s="5">
        <v>60</v>
      </c>
      <c r="E23" s="5">
        <v>60</v>
      </c>
      <c r="F23" s="5">
        <v>0</v>
      </c>
      <c r="G23" s="5">
        <v>0</v>
      </c>
      <c r="H23" s="5">
        <v>240</v>
      </c>
      <c r="I23" s="6">
        <f t="shared" si="0"/>
        <v>900</v>
      </c>
      <c r="J23" s="6">
        <f t="shared" si="1"/>
        <v>540</v>
      </c>
      <c r="K23" s="5" t="s">
        <v>24</v>
      </c>
      <c r="L23" s="5" t="s">
        <v>25</v>
      </c>
      <c r="M23" s="5" t="s">
        <v>26</v>
      </c>
      <c r="N23" s="5" t="s">
        <v>35</v>
      </c>
    </row>
    <row r="24" spans="1:14" x14ac:dyDescent="0.3">
      <c r="A24" s="4">
        <v>46264</v>
      </c>
      <c r="B24" s="5">
        <v>450</v>
      </c>
      <c r="C24" s="5">
        <v>90</v>
      </c>
      <c r="D24" s="5">
        <v>60</v>
      </c>
      <c r="E24" s="5">
        <v>60</v>
      </c>
      <c r="F24" s="5">
        <v>0</v>
      </c>
      <c r="G24" s="5">
        <v>0</v>
      </c>
      <c r="H24" s="5">
        <v>300</v>
      </c>
      <c r="I24" s="6">
        <f t="shared" si="0"/>
        <v>960</v>
      </c>
      <c r="J24" s="6">
        <f t="shared" si="1"/>
        <v>480</v>
      </c>
      <c r="K24" s="5" t="s">
        <v>24</v>
      </c>
      <c r="L24" s="5" t="s">
        <v>32</v>
      </c>
      <c r="M24" s="5" t="s">
        <v>29</v>
      </c>
      <c r="N24" s="5" t="s">
        <v>40</v>
      </c>
    </row>
    <row r="25" spans="1:14" x14ac:dyDescent="0.3">
      <c r="A25" s="4">
        <v>46265</v>
      </c>
      <c r="B25" s="5">
        <v>480</v>
      </c>
      <c r="C25" s="5">
        <v>90</v>
      </c>
      <c r="D25" s="5">
        <v>60</v>
      </c>
      <c r="E25" s="5">
        <v>60</v>
      </c>
      <c r="F25" s="5">
        <v>480</v>
      </c>
      <c r="G25" s="5">
        <v>5</v>
      </c>
      <c r="H25" s="5">
        <v>240</v>
      </c>
      <c r="I25" s="6">
        <f t="shared" si="0"/>
        <v>1415</v>
      </c>
      <c r="J25" s="6">
        <f t="shared" si="1"/>
        <v>25</v>
      </c>
      <c r="K25" s="5" t="s">
        <v>24</v>
      </c>
      <c r="L25" s="5" t="s">
        <v>32</v>
      </c>
      <c r="M25" s="5" t="s">
        <v>26</v>
      </c>
      <c r="N25" s="5" t="s">
        <v>41</v>
      </c>
    </row>
    <row r="26" spans="1:14" x14ac:dyDescent="0.3">
      <c r="A26" s="4">
        <v>46266</v>
      </c>
      <c r="B26" s="5">
        <v>420</v>
      </c>
      <c r="C26" s="5">
        <v>90</v>
      </c>
      <c r="D26" s="5">
        <v>60</v>
      </c>
      <c r="E26" s="5">
        <v>60</v>
      </c>
      <c r="F26" s="5">
        <v>480</v>
      </c>
      <c r="G26" s="5">
        <v>5</v>
      </c>
      <c r="H26" s="5">
        <v>240</v>
      </c>
      <c r="I26" s="6">
        <f t="shared" si="0"/>
        <v>1355</v>
      </c>
      <c r="J26" s="6">
        <f t="shared" si="1"/>
        <v>85</v>
      </c>
      <c r="K26" s="5" t="s">
        <v>28</v>
      </c>
      <c r="L26" s="5" t="s">
        <v>28</v>
      </c>
      <c r="M26" s="5" t="s">
        <v>26</v>
      </c>
      <c r="N26" s="5" t="s">
        <v>42</v>
      </c>
    </row>
    <row r="27" spans="1:14" x14ac:dyDescent="0.3">
      <c r="A27" s="4">
        <v>46267</v>
      </c>
      <c r="B27" s="5">
        <v>390</v>
      </c>
      <c r="C27" s="5">
        <v>90</v>
      </c>
      <c r="D27" s="5">
        <v>60</v>
      </c>
      <c r="E27" s="5">
        <v>60</v>
      </c>
      <c r="F27" s="5">
        <v>480</v>
      </c>
      <c r="G27" s="5">
        <v>6</v>
      </c>
      <c r="H27" s="5">
        <v>240</v>
      </c>
      <c r="I27" s="6">
        <f t="shared" si="0"/>
        <v>1326</v>
      </c>
      <c r="J27" s="6">
        <f t="shared" si="1"/>
        <v>114</v>
      </c>
      <c r="K27" s="5" t="s">
        <v>24</v>
      </c>
      <c r="L27" s="5" t="s">
        <v>25</v>
      </c>
      <c r="M27" s="5" t="s">
        <v>26</v>
      </c>
      <c r="N27" s="5" t="s">
        <v>37</v>
      </c>
    </row>
    <row r="28" spans="1:14" x14ac:dyDescent="0.3">
      <c r="A28" s="4">
        <v>46268</v>
      </c>
      <c r="B28" s="5">
        <v>390</v>
      </c>
      <c r="C28" s="5">
        <v>90</v>
      </c>
      <c r="D28" s="5">
        <v>60</v>
      </c>
      <c r="E28" s="5">
        <v>60</v>
      </c>
      <c r="F28" s="5">
        <v>480</v>
      </c>
      <c r="G28" s="5">
        <v>6</v>
      </c>
      <c r="H28" s="5">
        <v>300</v>
      </c>
      <c r="I28" s="6">
        <f t="shared" si="0"/>
        <v>1386</v>
      </c>
      <c r="J28" s="6">
        <f t="shared" si="1"/>
        <v>54</v>
      </c>
      <c r="K28" s="5" t="s">
        <v>24</v>
      </c>
      <c r="L28" s="5" t="s">
        <v>32</v>
      </c>
      <c r="M28" s="5" t="s">
        <v>29</v>
      </c>
      <c r="N28" s="5" t="s">
        <v>30</v>
      </c>
    </row>
    <row r="29" spans="1:14" x14ac:dyDescent="0.3">
      <c r="A29" s="4">
        <v>46269</v>
      </c>
      <c r="B29" s="5">
        <v>360</v>
      </c>
      <c r="C29" s="5">
        <v>90</v>
      </c>
      <c r="D29" s="5">
        <v>60</v>
      </c>
      <c r="E29" s="5">
        <v>60</v>
      </c>
      <c r="F29" s="5">
        <v>480</v>
      </c>
      <c r="G29" s="5">
        <v>5</v>
      </c>
      <c r="H29" s="5">
        <v>270</v>
      </c>
      <c r="I29" s="6">
        <f t="shared" si="0"/>
        <v>1325</v>
      </c>
      <c r="J29" s="6">
        <f t="shared" si="1"/>
        <v>115</v>
      </c>
      <c r="K29" s="5" t="s">
        <v>24</v>
      </c>
      <c r="L29" s="5" t="s">
        <v>25</v>
      </c>
      <c r="M29" s="5" t="s">
        <v>26</v>
      </c>
      <c r="N29" s="5" t="s">
        <v>43</v>
      </c>
    </row>
    <row r="30" spans="1:14" x14ac:dyDescent="0.3">
      <c r="A30" s="4">
        <v>46270</v>
      </c>
      <c r="B30" s="5">
        <v>360</v>
      </c>
      <c r="C30" s="5">
        <v>90</v>
      </c>
      <c r="D30" s="5">
        <v>60</v>
      </c>
      <c r="E30" s="5">
        <v>60</v>
      </c>
      <c r="F30" s="5">
        <v>0</v>
      </c>
      <c r="G30" s="5">
        <v>0</v>
      </c>
      <c r="H30" s="5">
        <v>240</v>
      </c>
      <c r="I30" s="6">
        <f t="shared" si="0"/>
        <v>810</v>
      </c>
      <c r="J30" s="6">
        <f t="shared" si="1"/>
        <v>630</v>
      </c>
      <c r="K30" s="5" t="s">
        <v>28</v>
      </c>
      <c r="L30" s="5" t="s">
        <v>28</v>
      </c>
      <c r="M30" s="5" t="s">
        <v>26</v>
      </c>
      <c r="N30" s="5" t="s">
        <v>35</v>
      </c>
    </row>
    <row r="31" spans="1:14" x14ac:dyDescent="0.3">
      <c r="A31" s="4">
        <v>46271</v>
      </c>
      <c r="B31" s="5">
        <v>450</v>
      </c>
      <c r="C31" s="5">
        <v>90</v>
      </c>
      <c r="D31" s="5">
        <v>60</v>
      </c>
      <c r="E31" s="5">
        <v>60</v>
      </c>
      <c r="F31" s="5">
        <v>0</v>
      </c>
      <c r="G31" s="5">
        <v>0</v>
      </c>
      <c r="H31" s="5">
        <v>300</v>
      </c>
      <c r="I31" s="6">
        <f t="shared" si="0"/>
        <v>960</v>
      </c>
      <c r="J31" s="6">
        <f t="shared" si="1"/>
        <v>480</v>
      </c>
      <c r="K31" s="5" t="s">
        <v>24</v>
      </c>
      <c r="L31" s="5" t="s">
        <v>32</v>
      </c>
      <c r="M31" s="5" t="s">
        <v>29</v>
      </c>
      <c r="N31" s="5" t="s">
        <v>35</v>
      </c>
    </row>
    <row r="32" spans="1:14" x14ac:dyDescent="0.3">
      <c r="A32" s="4">
        <v>46272</v>
      </c>
      <c r="B32" s="5">
        <v>480</v>
      </c>
      <c r="C32" s="5">
        <v>90</v>
      </c>
      <c r="D32" s="5">
        <v>60</v>
      </c>
      <c r="E32" s="5">
        <v>60</v>
      </c>
      <c r="F32" s="5">
        <v>480</v>
      </c>
      <c r="G32" s="5">
        <v>6</v>
      </c>
      <c r="H32" s="5">
        <v>240</v>
      </c>
      <c r="I32" s="6">
        <f t="shared" si="0"/>
        <v>1416</v>
      </c>
      <c r="J32" s="6">
        <f t="shared" si="1"/>
        <v>24</v>
      </c>
      <c r="K32" s="5" t="s">
        <v>24</v>
      </c>
      <c r="L32" s="5" t="s">
        <v>32</v>
      </c>
      <c r="M32" s="5" t="s">
        <v>26</v>
      </c>
      <c r="N32" s="5" t="s">
        <v>44</v>
      </c>
    </row>
    <row r="33" spans="1:14" x14ac:dyDescent="0.3">
      <c r="A33" s="4">
        <v>46273</v>
      </c>
      <c r="B33" s="5">
        <v>480</v>
      </c>
      <c r="C33" s="5">
        <v>90</v>
      </c>
      <c r="D33" s="5">
        <v>60</v>
      </c>
      <c r="E33" s="5">
        <v>60</v>
      </c>
      <c r="F33" s="5">
        <v>480</v>
      </c>
      <c r="G33" s="5">
        <v>5</v>
      </c>
      <c r="H33" s="5">
        <v>240</v>
      </c>
      <c r="I33" s="6">
        <f t="shared" si="0"/>
        <v>1415</v>
      </c>
      <c r="J33" s="6">
        <f t="shared" si="1"/>
        <v>25</v>
      </c>
      <c r="K33" s="5" t="s">
        <v>24</v>
      </c>
      <c r="L33" s="5" t="s">
        <v>25</v>
      </c>
      <c r="M33" s="5" t="s">
        <v>36</v>
      </c>
      <c r="N33" s="5" t="s">
        <v>37</v>
      </c>
    </row>
    <row r="34" spans="1:14" x14ac:dyDescent="0.3">
      <c r="A34" s="4">
        <v>46274</v>
      </c>
      <c r="B34" s="5">
        <v>360</v>
      </c>
      <c r="C34" s="5">
        <v>90</v>
      </c>
      <c r="D34" s="5">
        <v>60</v>
      </c>
      <c r="E34" s="5">
        <v>60</v>
      </c>
      <c r="F34" s="5">
        <v>480</v>
      </c>
      <c r="G34" s="5">
        <v>6</v>
      </c>
      <c r="H34" s="5">
        <v>300</v>
      </c>
      <c r="I34" s="6">
        <f t="shared" si="0"/>
        <v>1356</v>
      </c>
      <c r="J34" s="6">
        <f t="shared" si="1"/>
        <v>84</v>
      </c>
      <c r="K34" s="5" t="s">
        <v>24</v>
      </c>
      <c r="L34" s="5" t="s">
        <v>25</v>
      </c>
      <c r="M34" s="5" t="s">
        <v>36</v>
      </c>
      <c r="N34" s="5" t="s">
        <v>41</v>
      </c>
    </row>
    <row r="35" spans="1:14" x14ac:dyDescent="0.3">
      <c r="A35" s="4">
        <v>46275</v>
      </c>
      <c r="B35" s="5">
        <v>360</v>
      </c>
      <c r="C35" s="5">
        <v>90</v>
      </c>
      <c r="D35" s="5">
        <v>60</v>
      </c>
      <c r="E35" s="5">
        <v>60</v>
      </c>
      <c r="F35" s="5">
        <v>480</v>
      </c>
      <c r="G35" s="5">
        <v>4</v>
      </c>
      <c r="H35" s="5">
        <v>240</v>
      </c>
      <c r="I35" s="6">
        <f t="shared" si="0"/>
        <v>1294</v>
      </c>
      <c r="J35" s="6">
        <f t="shared" si="1"/>
        <v>146</v>
      </c>
      <c r="K35" s="5" t="s">
        <v>24</v>
      </c>
      <c r="L35" s="5" t="s">
        <v>32</v>
      </c>
      <c r="M35" s="5" t="s">
        <v>36</v>
      </c>
      <c r="N35" s="5" t="s">
        <v>42</v>
      </c>
    </row>
    <row r="36" spans="1:14" x14ac:dyDescent="0.3">
      <c r="A36" s="4">
        <v>46276</v>
      </c>
      <c r="B36" s="5">
        <v>390</v>
      </c>
      <c r="C36" s="5">
        <v>90</v>
      </c>
      <c r="D36" s="5">
        <v>60</v>
      </c>
      <c r="E36" s="5">
        <v>60</v>
      </c>
      <c r="F36" s="5">
        <v>480</v>
      </c>
      <c r="G36" s="5">
        <v>5</v>
      </c>
      <c r="H36" s="5">
        <v>300</v>
      </c>
      <c r="I36" s="6">
        <f t="shared" si="0"/>
        <v>1385</v>
      </c>
      <c r="J36" s="6">
        <f t="shared" si="1"/>
        <v>55</v>
      </c>
      <c r="K36" s="5" t="s">
        <v>28</v>
      </c>
      <c r="L36" s="5" t="s">
        <v>28</v>
      </c>
      <c r="M36" s="5" t="s">
        <v>26</v>
      </c>
      <c r="N36" s="5" t="s">
        <v>31</v>
      </c>
    </row>
    <row r="37" spans="1:14" x14ac:dyDescent="0.3">
      <c r="A37" s="4">
        <v>46277</v>
      </c>
      <c r="B37" s="5">
        <v>480</v>
      </c>
      <c r="C37" s="5">
        <v>90</v>
      </c>
      <c r="D37" s="5">
        <v>60</v>
      </c>
      <c r="E37" s="5">
        <v>60</v>
      </c>
      <c r="F37" s="5">
        <v>0</v>
      </c>
      <c r="G37" s="5">
        <v>0</v>
      </c>
      <c r="H37" s="5">
        <v>300</v>
      </c>
      <c r="I37" s="6">
        <f t="shared" si="0"/>
        <v>990</v>
      </c>
      <c r="J37" s="6">
        <f t="shared" si="1"/>
        <v>450</v>
      </c>
      <c r="K37" s="5" t="s">
        <v>28</v>
      </c>
      <c r="L37" s="5" t="s">
        <v>28</v>
      </c>
      <c r="M37" s="5" t="s">
        <v>29</v>
      </c>
      <c r="N37" s="5" t="s">
        <v>40</v>
      </c>
    </row>
    <row r="38" spans="1:14" x14ac:dyDescent="0.3">
      <c r="A38" s="4">
        <v>46278</v>
      </c>
      <c r="B38" s="5">
        <v>390</v>
      </c>
      <c r="C38" s="5">
        <v>90</v>
      </c>
      <c r="D38" s="5">
        <v>60</v>
      </c>
      <c r="E38" s="5">
        <v>60</v>
      </c>
      <c r="F38" s="5">
        <v>0</v>
      </c>
      <c r="G38" s="5">
        <v>0</v>
      </c>
      <c r="H38" s="5">
        <v>240</v>
      </c>
      <c r="I38" s="6">
        <f t="shared" ref="I38:I69" si="2">SUM(B38:H38)</f>
        <v>840</v>
      </c>
      <c r="J38" s="6">
        <f t="shared" ref="J38:J69" si="3">1440-I38</f>
        <v>600</v>
      </c>
      <c r="K38" s="5" t="s">
        <v>24</v>
      </c>
      <c r="L38" s="5" t="s">
        <v>32</v>
      </c>
      <c r="M38" s="5" t="s">
        <v>26</v>
      </c>
      <c r="N38" s="5" t="s">
        <v>40</v>
      </c>
    </row>
    <row r="39" spans="1:14" x14ac:dyDescent="0.3">
      <c r="A39" s="4">
        <v>46279</v>
      </c>
      <c r="B39" s="5">
        <v>450</v>
      </c>
      <c r="C39" s="5">
        <v>90</v>
      </c>
      <c r="D39" s="5">
        <v>60</v>
      </c>
      <c r="E39" s="5">
        <v>60</v>
      </c>
      <c r="F39" s="5">
        <v>480</v>
      </c>
      <c r="G39" s="5">
        <v>5</v>
      </c>
      <c r="H39" s="5">
        <v>300</v>
      </c>
      <c r="I39" s="6">
        <f t="shared" si="2"/>
        <v>1445</v>
      </c>
      <c r="J39" s="6">
        <f t="shared" si="3"/>
        <v>-5</v>
      </c>
      <c r="K39" s="5" t="s">
        <v>24</v>
      </c>
      <c r="L39" s="5" t="s">
        <v>25</v>
      </c>
      <c r="M39" s="5" t="s">
        <v>36</v>
      </c>
      <c r="N39" s="5" t="s">
        <v>38</v>
      </c>
    </row>
    <row r="40" spans="1:14" x14ac:dyDescent="0.3">
      <c r="A40" s="4">
        <v>46280</v>
      </c>
      <c r="B40" s="5">
        <v>420</v>
      </c>
      <c r="C40" s="5">
        <v>90</v>
      </c>
      <c r="D40" s="5">
        <v>60</v>
      </c>
      <c r="E40" s="5">
        <v>60</v>
      </c>
      <c r="F40" s="5">
        <v>480</v>
      </c>
      <c r="G40" s="5">
        <v>4</v>
      </c>
      <c r="H40" s="5">
        <v>240</v>
      </c>
      <c r="I40" s="6">
        <f t="shared" si="2"/>
        <v>1354</v>
      </c>
      <c r="J40" s="6">
        <f t="shared" si="3"/>
        <v>86</v>
      </c>
      <c r="K40" s="5" t="s">
        <v>24</v>
      </c>
      <c r="L40" s="5" t="s">
        <v>25</v>
      </c>
      <c r="M40" s="5" t="s">
        <v>29</v>
      </c>
      <c r="N40" s="5" t="s">
        <v>27</v>
      </c>
    </row>
    <row r="41" spans="1:14" x14ac:dyDescent="0.3">
      <c r="A41" s="4">
        <v>46281</v>
      </c>
      <c r="B41" s="5">
        <v>450</v>
      </c>
      <c r="C41" s="5">
        <v>90</v>
      </c>
      <c r="D41" s="5">
        <v>60</v>
      </c>
      <c r="E41" s="5">
        <v>60</v>
      </c>
      <c r="F41" s="5">
        <v>480</v>
      </c>
      <c r="G41" s="5">
        <v>4</v>
      </c>
      <c r="H41" s="5">
        <v>270</v>
      </c>
      <c r="I41" s="6">
        <f t="shared" si="2"/>
        <v>1414</v>
      </c>
      <c r="J41" s="6">
        <f t="shared" si="3"/>
        <v>26</v>
      </c>
      <c r="K41" s="5" t="s">
        <v>28</v>
      </c>
      <c r="L41" s="5" t="s">
        <v>28</v>
      </c>
      <c r="M41" s="5" t="s">
        <v>36</v>
      </c>
      <c r="N41" s="5" t="s">
        <v>44</v>
      </c>
    </row>
    <row r="42" spans="1:14" x14ac:dyDescent="0.3">
      <c r="A42" s="4">
        <v>46282</v>
      </c>
      <c r="B42" s="5">
        <v>480</v>
      </c>
      <c r="C42" s="5">
        <v>90</v>
      </c>
      <c r="D42" s="5">
        <v>60</v>
      </c>
      <c r="E42" s="5">
        <v>60</v>
      </c>
      <c r="F42" s="5">
        <v>480</v>
      </c>
      <c r="G42" s="5">
        <v>4</v>
      </c>
      <c r="H42" s="5">
        <v>240</v>
      </c>
      <c r="I42" s="6">
        <f t="shared" si="2"/>
        <v>1414</v>
      </c>
      <c r="J42" s="6">
        <f t="shared" si="3"/>
        <v>26</v>
      </c>
      <c r="K42" s="5" t="s">
        <v>28</v>
      </c>
      <c r="L42" s="5" t="s">
        <v>28</v>
      </c>
      <c r="M42" s="5" t="s">
        <v>36</v>
      </c>
      <c r="N42" s="5" t="s">
        <v>45</v>
      </c>
    </row>
    <row r="43" spans="1:14" x14ac:dyDescent="0.3">
      <c r="A43" s="4">
        <v>46283</v>
      </c>
      <c r="B43" s="5">
        <v>390</v>
      </c>
      <c r="C43" s="5">
        <v>90</v>
      </c>
      <c r="D43" s="5">
        <v>60</v>
      </c>
      <c r="E43" s="5">
        <v>60</v>
      </c>
      <c r="F43" s="5">
        <v>480</v>
      </c>
      <c r="G43" s="5">
        <v>4</v>
      </c>
      <c r="H43" s="5">
        <v>270</v>
      </c>
      <c r="I43" s="6">
        <f t="shared" si="2"/>
        <v>1354</v>
      </c>
      <c r="J43" s="6">
        <f t="shared" si="3"/>
        <v>86</v>
      </c>
      <c r="K43" s="5" t="s">
        <v>28</v>
      </c>
      <c r="L43" s="5" t="s">
        <v>34</v>
      </c>
      <c r="M43" s="5" t="s">
        <v>26</v>
      </c>
      <c r="N43" s="5" t="s">
        <v>39</v>
      </c>
    </row>
    <row r="44" spans="1:14" x14ac:dyDescent="0.3">
      <c r="A44" s="4">
        <v>46284</v>
      </c>
      <c r="B44" s="5">
        <v>450</v>
      </c>
      <c r="C44" s="5">
        <v>90</v>
      </c>
      <c r="D44" s="5">
        <v>60</v>
      </c>
      <c r="E44" s="5">
        <v>60</v>
      </c>
      <c r="F44" s="5">
        <v>0</v>
      </c>
      <c r="G44" s="5">
        <v>0</v>
      </c>
      <c r="H44" s="5">
        <v>240</v>
      </c>
      <c r="I44" s="6">
        <f t="shared" si="2"/>
        <v>900</v>
      </c>
      <c r="J44" s="6">
        <f t="shared" si="3"/>
        <v>540</v>
      </c>
      <c r="K44" s="5" t="s">
        <v>24</v>
      </c>
      <c r="L44" s="5" t="s">
        <v>32</v>
      </c>
      <c r="M44" s="5" t="s">
        <v>36</v>
      </c>
      <c r="N44" s="5" t="s">
        <v>40</v>
      </c>
    </row>
    <row r="45" spans="1:14" x14ac:dyDescent="0.3">
      <c r="A45" s="4">
        <v>46285</v>
      </c>
      <c r="B45" s="5">
        <v>420</v>
      </c>
      <c r="C45" s="5">
        <v>90</v>
      </c>
      <c r="D45" s="5">
        <v>60</v>
      </c>
      <c r="E45" s="5">
        <v>60</v>
      </c>
      <c r="F45" s="5">
        <v>0</v>
      </c>
      <c r="G45" s="5">
        <v>0</v>
      </c>
      <c r="H45" s="5">
        <v>270</v>
      </c>
      <c r="I45" s="6">
        <f t="shared" si="2"/>
        <v>900</v>
      </c>
      <c r="J45" s="6">
        <f t="shared" si="3"/>
        <v>540</v>
      </c>
      <c r="K45" s="5" t="s">
        <v>24</v>
      </c>
      <c r="L45" s="5" t="s">
        <v>32</v>
      </c>
      <c r="M45" s="5" t="s">
        <v>29</v>
      </c>
      <c r="N45" s="5" t="s">
        <v>35</v>
      </c>
    </row>
    <row r="46" spans="1:14" x14ac:dyDescent="0.3">
      <c r="A46" s="4">
        <v>46286</v>
      </c>
      <c r="B46" s="5">
        <v>390</v>
      </c>
      <c r="C46" s="5">
        <v>90</v>
      </c>
      <c r="D46" s="5">
        <v>60</v>
      </c>
      <c r="E46" s="5">
        <v>60</v>
      </c>
      <c r="F46" s="5">
        <v>480</v>
      </c>
      <c r="G46" s="5">
        <v>5</v>
      </c>
      <c r="H46" s="5">
        <v>240</v>
      </c>
      <c r="I46" s="6">
        <f t="shared" si="2"/>
        <v>1325</v>
      </c>
      <c r="J46" s="6">
        <f t="shared" si="3"/>
        <v>115</v>
      </c>
      <c r="K46" s="5" t="s">
        <v>24</v>
      </c>
      <c r="L46" s="5" t="s">
        <v>25</v>
      </c>
      <c r="M46" s="5" t="s">
        <v>26</v>
      </c>
      <c r="N46" s="5" t="s">
        <v>30</v>
      </c>
    </row>
    <row r="47" spans="1:14" x14ac:dyDescent="0.3">
      <c r="A47" s="4">
        <v>46287</v>
      </c>
      <c r="B47" s="5">
        <v>360</v>
      </c>
      <c r="C47" s="5">
        <v>90</v>
      </c>
      <c r="D47" s="5">
        <v>60</v>
      </c>
      <c r="E47" s="5">
        <v>60</v>
      </c>
      <c r="F47" s="5">
        <v>480</v>
      </c>
      <c r="G47" s="5">
        <v>6</v>
      </c>
      <c r="H47" s="5">
        <v>270</v>
      </c>
      <c r="I47" s="6">
        <f t="shared" si="2"/>
        <v>1326</v>
      </c>
      <c r="J47" s="6">
        <f t="shared" si="3"/>
        <v>114</v>
      </c>
      <c r="K47" s="5" t="s">
        <v>28</v>
      </c>
      <c r="L47" s="5" t="s">
        <v>28</v>
      </c>
      <c r="M47" s="5" t="s">
        <v>36</v>
      </c>
      <c r="N47" s="5" t="s">
        <v>42</v>
      </c>
    </row>
    <row r="48" spans="1:14" x14ac:dyDescent="0.3">
      <c r="A48" s="4">
        <v>46288</v>
      </c>
      <c r="B48" s="5">
        <v>360</v>
      </c>
      <c r="C48" s="5">
        <v>90</v>
      </c>
      <c r="D48" s="5">
        <v>60</v>
      </c>
      <c r="E48" s="5">
        <v>60</v>
      </c>
      <c r="F48" s="5">
        <v>480</v>
      </c>
      <c r="G48" s="5">
        <v>4</v>
      </c>
      <c r="H48" s="5">
        <v>240</v>
      </c>
      <c r="I48" s="6">
        <f t="shared" si="2"/>
        <v>1294</v>
      </c>
      <c r="J48" s="6">
        <f t="shared" si="3"/>
        <v>146</v>
      </c>
      <c r="K48" s="5" t="s">
        <v>28</v>
      </c>
      <c r="L48" s="5" t="s">
        <v>28</v>
      </c>
      <c r="M48" s="5" t="s">
        <v>26</v>
      </c>
      <c r="N48" s="5" t="s">
        <v>38</v>
      </c>
    </row>
    <row r="49" spans="1:14" x14ac:dyDescent="0.3">
      <c r="A49" s="4">
        <v>46289</v>
      </c>
      <c r="B49" s="5">
        <v>360</v>
      </c>
      <c r="C49" s="5">
        <v>90</v>
      </c>
      <c r="D49" s="5">
        <v>60</v>
      </c>
      <c r="E49" s="5">
        <v>60</v>
      </c>
      <c r="F49" s="5">
        <v>480</v>
      </c>
      <c r="G49" s="5">
        <v>6</v>
      </c>
      <c r="H49" s="5">
        <v>240</v>
      </c>
      <c r="I49" s="6">
        <f t="shared" si="2"/>
        <v>1296</v>
      </c>
      <c r="J49" s="6">
        <f t="shared" si="3"/>
        <v>144</v>
      </c>
      <c r="K49" s="5" t="s">
        <v>28</v>
      </c>
      <c r="L49" s="5" t="s">
        <v>28</v>
      </c>
      <c r="M49" s="5" t="s">
        <v>36</v>
      </c>
      <c r="N49" s="5" t="s">
        <v>38</v>
      </c>
    </row>
    <row r="50" spans="1:14" x14ac:dyDescent="0.3">
      <c r="A50" s="4">
        <v>46290</v>
      </c>
      <c r="B50" s="5">
        <v>480</v>
      </c>
      <c r="C50" s="5">
        <v>90</v>
      </c>
      <c r="D50" s="5">
        <v>60</v>
      </c>
      <c r="E50" s="5">
        <v>60</v>
      </c>
      <c r="F50" s="5">
        <v>480</v>
      </c>
      <c r="G50" s="5">
        <v>6</v>
      </c>
      <c r="H50" s="5">
        <v>270</v>
      </c>
      <c r="I50" s="6">
        <f t="shared" si="2"/>
        <v>1446</v>
      </c>
      <c r="J50" s="6">
        <f t="shared" si="3"/>
        <v>-6</v>
      </c>
      <c r="K50" s="5" t="s">
        <v>24</v>
      </c>
      <c r="L50" s="5" t="s">
        <v>25</v>
      </c>
      <c r="M50" s="5" t="s">
        <v>26</v>
      </c>
      <c r="N50" s="5" t="s">
        <v>46</v>
      </c>
    </row>
    <row r="51" spans="1:14" ht="28.8" x14ac:dyDescent="0.3">
      <c r="A51" s="4">
        <v>46291</v>
      </c>
      <c r="B51" s="5">
        <v>420</v>
      </c>
      <c r="C51" s="5">
        <v>90</v>
      </c>
      <c r="D51" s="5">
        <v>60</v>
      </c>
      <c r="E51" s="5">
        <v>60</v>
      </c>
      <c r="F51" s="5">
        <v>0</v>
      </c>
      <c r="G51" s="5">
        <v>0</v>
      </c>
      <c r="H51" s="5">
        <v>270</v>
      </c>
      <c r="I51" s="6">
        <f t="shared" si="2"/>
        <v>900</v>
      </c>
      <c r="J51" s="6">
        <f t="shared" si="3"/>
        <v>540</v>
      </c>
      <c r="K51" s="5" t="s">
        <v>24</v>
      </c>
      <c r="L51" s="5" t="s">
        <v>32</v>
      </c>
      <c r="M51" s="5" t="s">
        <v>29</v>
      </c>
      <c r="N51" s="5" t="s">
        <v>47</v>
      </c>
    </row>
    <row r="52" spans="1:14" x14ac:dyDescent="0.3">
      <c r="A52" s="4">
        <v>46292</v>
      </c>
      <c r="B52" s="5">
        <v>360</v>
      </c>
      <c r="C52" s="5">
        <v>90</v>
      </c>
      <c r="D52" s="5">
        <v>60</v>
      </c>
      <c r="E52" s="5">
        <v>60</v>
      </c>
      <c r="F52" s="5">
        <v>0</v>
      </c>
      <c r="G52" s="5">
        <v>0</v>
      </c>
      <c r="H52" s="5">
        <v>240</v>
      </c>
      <c r="I52" s="6">
        <f t="shared" si="2"/>
        <v>810</v>
      </c>
      <c r="J52" s="6">
        <f t="shared" si="3"/>
        <v>630</v>
      </c>
      <c r="K52" s="5" t="s">
        <v>28</v>
      </c>
      <c r="L52" s="5" t="s">
        <v>28</v>
      </c>
      <c r="M52" s="5" t="s">
        <v>36</v>
      </c>
      <c r="N52" s="5" t="s">
        <v>35</v>
      </c>
    </row>
    <row r="53" spans="1:14" x14ac:dyDescent="0.3">
      <c r="A53" s="4">
        <v>46293</v>
      </c>
      <c r="B53" s="5">
        <v>480</v>
      </c>
      <c r="C53" s="5">
        <v>90</v>
      </c>
      <c r="D53" s="5">
        <v>60</v>
      </c>
      <c r="E53" s="5">
        <v>60</v>
      </c>
      <c r="F53" s="5">
        <v>0</v>
      </c>
      <c r="G53" s="5">
        <v>0</v>
      </c>
      <c r="H53" s="5">
        <v>270</v>
      </c>
      <c r="I53" s="6">
        <f t="shared" si="2"/>
        <v>960</v>
      </c>
      <c r="J53" s="6">
        <f t="shared" si="3"/>
        <v>480</v>
      </c>
      <c r="K53" s="5" t="s">
        <v>24</v>
      </c>
      <c r="L53" s="5" t="s">
        <v>32</v>
      </c>
      <c r="M53" s="5" t="s">
        <v>36</v>
      </c>
      <c r="N53" s="5" t="s">
        <v>48</v>
      </c>
    </row>
    <row r="54" spans="1:14" x14ac:dyDescent="0.3">
      <c r="A54" s="4">
        <v>46294</v>
      </c>
      <c r="B54" s="5">
        <v>420</v>
      </c>
      <c r="C54" s="5">
        <v>90</v>
      </c>
      <c r="D54" s="5">
        <v>60</v>
      </c>
      <c r="E54" s="5">
        <v>60</v>
      </c>
      <c r="F54" s="5">
        <v>0</v>
      </c>
      <c r="G54" s="5">
        <v>0</v>
      </c>
      <c r="H54" s="5">
        <v>240</v>
      </c>
      <c r="I54" s="6">
        <f t="shared" si="2"/>
        <v>870</v>
      </c>
      <c r="J54" s="6">
        <f t="shared" si="3"/>
        <v>570</v>
      </c>
      <c r="K54" s="5" t="s">
        <v>28</v>
      </c>
      <c r="L54" s="5" t="s">
        <v>34</v>
      </c>
      <c r="M54" s="5" t="s">
        <v>36</v>
      </c>
      <c r="N54" s="5" t="s">
        <v>48</v>
      </c>
    </row>
    <row r="55" spans="1:14" x14ac:dyDescent="0.3">
      <c r="A55" s="4">
        <v>46295</v>
      </c>
      <c r="B55" s="5">
        <v>360</v>
      </c>
      <c r="C55" s="5">
        <v>90</v>
      </c>
      <c r="D55" s="5">
        <v>60</v>
      </c>
      <c r="E55" s="5">
        <v>60</v>
      </c>
      <c r="F55" s="5">
        <v>0</v>
      </c>
      <c r="G55" s="5">
        <v>0</v>
      </c>
      <c r="H55" s="5">
        <v>240</v>
      </c>
      <c r="I55" s="6">
        <f t="shared" si="2"/>
        <v>810</v>
      </c>
      <c r="J55" s="6">
        <f t="shared" si="3"/>
        <v>630</v>
      </c>
      <c r="K55" s="5" t="s">
        <v>24</v>
      </c>
      <c r="L55" s="5" t="s">
        <v>25</v>
      </c>
      <c r="M55" s="5" t="s">
        <v>36</v>
      </c>
      <c r="N55" s="5" t="s">
        <v>49</v>
      </c>
    </row>
    <row r="56" spans="1:14" x14ac:dyDescent="0.3">
      <c r="A56" s="4">
        <v>46296</v>
      </c>
      <c r="B56" s="5">
        <v>420</v>
      </c>
      <c r="C56" s="5">
        <v>90</v>
      </c>
      <c r="D56" s="5">
        <v>60</v>
      </c>
      <c r="E56" s="5">
        <v>60</v>
      </c>
      <c r="F56" s="5">
        <v>0</v>
      </c>
      <c r="G56" s="5">
        <v>0</v>
      </c>
      <c r="H56" s="5">
        <v>270</v>
      </c>
      <c r="I56" s="6">
        <f t="shared" si="2"/>
        <v>900</v>
      </c>
      <c r="J56" s="6">
        <f t="shared" si="3"/>
        <v>540</v>
      </c>
      <c r="K56" s="5" t="s">
        <v>28</v>
      </c>
      <c r="L56" s="5" t="s">
        <v>28</v>
      </c>
      <c r="M56" s="5" t="s">
        <v>26</v>
      </c>
      <c r="N56" s="5" t="s">
        <v>48</v>
      </c>
    </row>
    <row r="57" spans="1:14" ht="28.8" x14ac:dyDescent="0.3">
      <c r="A57" s="4">
        <v>46297</v>
      </c>
      <c r="B57" s="5">
        <v>480</v>
      </c>
      <c r="C57" s="5">
        <v>90</v>
      </c>
      <c r="D57" s="5">
        <v>60</v>
      </c>
      <c r="E57" s="5">
        <v>60</v>
      </c>
      <c r="F57" s="5">
        <v>0</v>
      </c>
      <c r="G57" s="5">
        <v>0</v>
      </c>
      <c r="H57" s="5">
        <v>270</v>
      </c>
      <c r="I57" s="6">
        <f t="shared" si="2"/>
        <v>960</v>
      </c>
      <c r="J57" s="6">
        <f t="shared" si="3"/>
        <v>480</v>
      </c>
      <c r="K57" s="5" t="s">
        <v>24</v>
      </c>
      <c r="L57" s="5" t="s">
        <v>25</v>
      </c>
      <c r="M57" s="5" t="s">
        <v>36</v>
      </c>
      <c r="N57" s="5" t="s">
        <v>50</v>
      </c>
    </row>
    <row r="58" spans="1:14" x14ac:dyDescent="0.3">
      <c r="A58" s="4">
        <v>46298</v>
      </c>
      <c r="B58" s="5">
        <v>420</v>
      </c>
      <c r="C58" s="5">
        <v>90</v>
      </c>
      <c r="D58" s="5">
        <v>60</v>
      </c>
      <c r="E58" s="5">
        <v>60</v>
      </c>
      <c r="F58" s="5">
        <v>0</v>
      </c>
      <c r="G58" s="5">
        <v>0</v>
      </c>
      <c r="H58" s="5">
        <v>240</v>
      </c>
      <c r="I58" s="6">
        <f t="shared" si="2"/>
        <v>870</v>
      </c>
      <c r="J58" s="6">
        <f t="shared" si="3"/>
        <v>570</v>
      </c>
      <c r="K58" s="5" t="s">
        <v>24</v>
      </c>
      <c r="L58" s="5" t="s">
        <v>32</v>
      </c>
      <c r="M58" s="5" t="s">
        <v>26</v>
      </c>
      <c r="N58" s="5" t="s">
        <v>49</v>
      </c>
    </row>
    <row r="59" spans="1:14" x14ac:dyDescent="0.3">
      <c r="A59" s="4">
        <v>46299</v>
      </c>
      <c r="B59" s="5">
        <v>450</v>
      </c>
      <c r="C59" s="5">
        <v>90</v>
      </c>
      <c r="D59" s="5">
        <v>60</v>
      </c>
      <c r="E59" s="5">
        <v>60</v>
      </c>
      <c r="F59" s="5">
        <v>0</v>
      </c>
      <c r="G59" s="5">
        <v>0</v>
      </c>
      <c r="H59" s="5">
        <v>300</v>
      </c>
      <c r="I59" s="6">
        <f t="shared" si="2"/>
        <v>960</v>
      </c>
      <c r="J59" s="6">
        <f t="shared" si="3"/>
        <v>480</v>
      </c>
      <c r="K59" s="5" t="s">
        <v>28</v>
      </c>
      <c r="L59" s="5" t="s">
        <v>28</v>
      </c>
      <c r="M59" s="5" t="s">
        <v>36</v>
      </c>
      <c r="N59" s="5" t="s">
        <v>49</v>
      </c>
    </row>
    <row r="60" spans="1:14" x14ac:dyDescent="0.3">
      <c r="A60" s="4">
        <v>46300</v>
      </c>
      <c r="B60" s="5">
        <v>480</v>
      </c>
      <c r="C60" s="5">
        <v>90</v>
      </c>
      <c r="D60" s="5">
        <v>60</v>
      </c>
      <c r="E60" s="5">
        <v>60</v>
      </c>
      <c r="F60" s="5">
        <v>0</v>
      </c>
      <c r="G60" s="5">
        <v>0</v>
      </c>
      <c r="H60" s="5">
        <v>240</v>
      </c>
      <c r="I60" s="6">
        <f t="shared" si="2"/>
        <v>930</v>
      </c>
      <c r="J60" s="6">
        <f t="shared" si="3"/>
        <v>510</v>
      </c>
      <c r="K60" s="5" t="s">
        <v>24</v>
      </c>
      <c r="L60" s="5" t="s">
        <v>25</v>
      </c>
      <c r="M60" s="5" t="s">
        <v>29</v>
      </c>
      <c r="N60" s="5" t="s">
        <v>51</v>
      </c>
    </row>
  </sheetData>
  <autoFilter ref="A5:N60" xr:uid="{00000000-0009-0000-0000-000001000000}"/>
  <mergeCells count="2">
    <mergeCell ref="A4:N4"/>
    <mergeCell ref="A1:N1"/>
  </mergeCells>
  <dataValidations count="3">
    <dataValidation type="list" allowBlank="1" sqref="K6:K60" xr:uid="{00000000-0002-0000-0100-000000000000}">
      <formula1>"Excellent,Good,Neutral,Low,Stressed"</formula1>
    </dataValidation>
    <dataValidation type="list" allowBlank="1" sqref="L6:L60" xr:uid="{00000000-0002-0000-0100-000001000000}">
      <formula1>"Very Satisfied,Satisfied,Neutral,Unsatisfied,Very Unsatisfied"</formula1>
    </dataValidation>
    <dataValidation type="list" allowBlank="1" sqref="M6:M60" xr:uid="{00000000-0002-0000-0100-000002000000}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BISWAL</cp:lastModifiedBy>
  <dcterms:created xsi:type="dcterms:W3CDTF">2026-10-05T10:33:35Z</dcterms:created>
  <dcterms:modified xsi:type="dcterms:W3CDTF">2026-10-05T10:41:27Z</dcterms:modified>
</cp:coreProperties>
</file>